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FLOW" sheetId="2" state="visible" r:id="rId4"/>
    <sheet name="02_RECORD" sheetId="3" state="visible" r:id="rId5"/>
    <sheet name="03_PALACE9" sheetId="4" state="visible" r:id="rId6"/>
    <sheet name="04_SURFACE" sheetId="5" state="visible" r:id="rId7"/>
    <sheet name="05_CLASS" sheetId="6" state="visible" r:id="rId8"/>
    <sheet name="06_ADAPTER" sheetId="7" state="visible" r:id="rId9"/>
  </sheets>
  <definedNames>
    <definedName function="false" hidden="false" localSheetId="2" name="_xlnm.Print_Titles" vbProcedure="false">02_RECORD!$1:$3</definedName>
    <definedName function="false" hidden="true" localSheetId="2" name="_xlnm._FilterDatabase" vbProcedure="false">02_RECORD!$A$3:$M$22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<sst xmlns="http://schemas.openxmlformats.org/spreadsheetml/2006/main" count="175" uniqueCount="143">
  <si>
    <r>
      <rPr>
        <b val="true"/>
        <sz val="16"/>
        <color rgb="FF111111"/>
        <rFont val="Yu Gothic"/>
        <family val="0"/>
        <charset val="1"/>
      </rPr>
      <t xml:space="preserve">DebugShrine PUBLIC v1.0  —  Excel</t>
    </r>
    <r>
      <rPr>
        <b val="true"/>
        <sz val="16"/>
        <color rgb="FF111111"/>
        <rFont val="Noto Sans CJK SC"/>
        <family val="2"/>
      </rPr>
      <t xml:space="preserve">方眼紙</t>
    </r>
  </si>
  <si>
    <t xml:space="preserve">Observe → Record → Aggregate → Compress(hook) → Classify</t>
  </si>
  <si>
    <t xml:space="preserve">公開完成</t>
  </si>
  <si>
    <r>
      <rPr>
        <sz val="10"/>
        <color rgb="FF222222"/>
        <rFont val="Noto Sans CJK SC"/>
        <family val="2"/>
      </rPr>
      <t xml:space="preserve">集計 </t>
    </r>
    <r>
      <rPr>
        <sz val="10"/>
        <color rgb="FF222222"/>
        <rFont val="Yu Gothic"/>
        <family val="0"/>
        <charset val="1"/>
      </rPr>
      <t xml:space="preserve">+ </t>
    </r>
    <r>
      <rPr>
        <sz val="10"/>
        <color rgb="FF222222"/>
        <rFont val="Noto Sans CJK SC"/>
        <family val="2"/>
      </rPr>
      <t xml:space="preserve">分類 </t>
    </r>
    <r>
      <rPr>
        <sz val="10"/>
        <color rgb="FF222222"/>
        <rFont val="Yu Gothic"/>
        <family val="0"/>
        <charset val="1"/>
      </rPr>
      <t xml:space="preserve">+ </t>
    </r>
    <r>
      <rPr>
        <sz val="10"/>
        <color rgb="FF222222"/>
        <rFont val="Noto Sans CJK SC"/>
        <family val="2"/>
      </rPr>
      <t xml:space="preserve">外部</t>
    </r>
    <r>
      <rPr>
        <sz val="10"/>
        <color rgb="FF222222"/>
        <rFont val="Yu Gothic"/>
        <family val="0"/>
        <charset val="1"/>
      </rPr>
      <t xml:space="preserve">I/O + </t>
    </r>
    <r>
      <rPr>
        <sz val="10"/>
        <color rgb="FF222222"/>
        <rFont val="Noto Sans CJK SC"/>
        <family val="2"/>
      </rPr>
      <t xml:space="preserve">データフロー </t>
    </r>
    <r>
      <rPr>
        <sz val="10"/>
        <color rgb="FF222222"/>
        <rFont val="Yu Gothic"/>
        <family val="0"/>
        <charset val="1"/>
      </rPr>
      <t xml:space="preserve">+ </t>
    </r>
    <r>
      <rPr>
        <sz val="10"/>
        <color rgb="FF222222"/>
        <rFont val="Noto Sans CJK SC"/>
        <family val="2"/>
      </rPr>
      <t xml:space="preserve">本ブック生成器</t>
    </r>
  </si>
  <si>
    <t xml:space="preserve">非同梱</t>
  </si>
  <si>
    <r>
      <rPr>
        <sz val="10"/>
        <color rgb="FF222222"/>
        <rFont val="Noto Sans CJK SC"/>
        <family val="2"/>
      </rPr>
      <t xml:space="preserve">局所コード生成 </t>
    </r>
    <r>
      <rPr>
        <sz val="10"/>
        <color rgb="FF222222"/>
        <rFont val="Yu Gothic"/>
        <family val="0"/>
        <charset val="1"/>
      </rPr>
      <t xml:space="preserve">/ Gate</t>
    </r>
    <r>
      <rPr>
        <sz val="10"/>
        <color rgb="FF222222"/>
        <rFont val="Noto Sans CJK SC"/>
        <family val="2"/>
      </rPr>
      <t xml:space="preserve">辞書 </t>
    </r>
    <r>
      <rPr>
        <sz val="10"/>
        <color rgb="FF222222"/>
        <rFont val="Yu Gothic"/>
        <family val="0"/>
        <charset val="1"/>
      </rPr>
      <t xml:space="preserve">/ 64</t>
    </r>
    <r>
      <rPr>
        <sz val="10"/>
        <color rgb="FF222222"/>
        <rFont val="Noto Sans CJK SC"/>
        <family val="2"/>
      </rPr>
      <t xml:space="preserve">卦の重み</t>
    </r>
  </si>
  <si>
    <t xml:space="preserve">スナップショット</t>
  </si>
  <si>
    <t xml:space="preserve">既存ツールをカスタム。重み付けと運用は自己責任。</t>
  </si>
  <si>
    <t xml:space="preserve">正本</t>
  </si>
  <si>
    <r>
      <rPr>
        <sz val="10"/>
        <color rgb="FF222222"/>
        <rFont val="Yu Gothic"/>
        <family val="0"/>
        <charset val="1"/>
      </rPr>
      <t xml:space="preserve">Record</t>
    </r>
    <r>
      <rPr>
        <sz val="10"/>
        <color rgb="FF222222"/>
        <rFont val="Noto Sans CJK SC"/>
        <family val="2"/>
      </rPr>
      <t xml:space="preserve">。</t>
    </r>
    <r>
      <rPr>
        <sz val="10"/>
        <color rgb="FF222222"/>
        <rFont val="Yu Gothic"/>
        <family val="0"/>
        <charset val="1"/>
      </rPr>
      <t xml:space="preserve">Sheet</t>
    </r>
    <r>
      <rPr>
        <sz val="10"/>
        <color rgb="FF222222"/>
        <rFont val="Noto Sans CJK SC"/>
        <family val="2"/>
      </rPr>
      <t xml:space="preserve">の面・卦は派生ビュー。</t>
    </r>
  </si>
  <si>
    <t xml:space="preserve">01_FLOW / 02_RECORD / 03_PALACE9 / 04_SURFACE / 05_CLASS / 06_ADAPTER</t>
  </si>
  <si>
    <t xml:space="preserve">外部連携データフロー</t>
  </si>
  <si>
    <t xml:space="preserve">段</t>
  </si>
  <si>
    <t xml:space="preserve">主体</t>
  </si>
  <si>
    <t xml:space="preserve">入力</t>
  </si>
  <si>
    <t xml:space="preserve">処理</t>
  </si>
  <si>
    <t xml:space="preserve">出力</t>
  </si>
  <si>
    <t xml:space="preserve">禁止</t>
  </si>
  <si>
    <t xml:space="preserve">0 Ingress</t>
  </si>
  <si>
    <t xml:space="preserve">CI/log/sheet/HTTP</t>
  </si>
  <si>
    <t xml:space="preserve">生イベント</t>
  </si>
  <si>
    <t xml:space="preserve">フィールド写経</t>
  </si>
  <si>
    <t xml:space="preserve">AuditRecord</t>
  </si>
  <si>
    <r>
      <rPr>
        <sz val="10"/>
        <color rgb="FF222222"/>
        <rFont val="Yu Gothic"/>
        <family val="0"/>
        <charset val="1"/>
      </rPr>
      <t xml:space="preserve">Class</t>
    </r>
    <r>
      <rPr>
        <sz val="10"/>
        <color rgb="FF222222"/>
        <rFont val="Noto Sans CJK SC"/>
        <family val="2"/>
      </rPr>
      <t xml:space="preserve">を書かない</t>
    </r>
  </si>
  <si>
    <t xml:space="preserve">1 Record</t>
  </si>
  <si>
    <t xml:space="preserve">store</t>
  </si>
  <si>
    <r>
      <rPr>
        <sz val="10"/>
        <color rgb="FF222222"/>
        <rFont val="Yu Gothic"/>
        <family val="0"/>
        <charset val="1"/>
      </rPr>
      <t xml:space="preserve">Route* </t>
    </r>
    <r>
      <rPr>
        <sz val="10"/>
        <color rgb="FF222222"/>
        <rFont val="Noto Sans CJK SC"/>
        <family val="2"/>
      </rPr>
      <t xml:space="preserve">導出</t>
    </r>
  </si>
  <si>
    <t xml:space="preserve">facts</t>
  </si>
  <si>
    <t xml:space="preserve">物語ラベル</t>
  </si>
  <si>
    <t xml:space="preserve">2 Aggregate</t>
  </si>
  <si>
    <t xml:space="preserve">TrajectoryAggregator</t>
  </si>
  <si>
    <t xml:space="preserve">E,A</t>
  </si>
  <si>
    <t xml:space="preserve">node/edge++</t>
  </si>
  <si>
    <t xml:space="preserve">surface</t>
  </si>
  <si>
    <t xml:space="preserve">分類の先取り</t>
  </si>
  <si>
    <t xml:space="preserve">3 Compress</t>
  </si>
  <si>
    <t xml:space="preserve">external hook</t>
  </si>
  <si>
    <t xml:space="preserve">surface+counts</t>
  </si>
  <si>
    <t xml:space="preserve">既存卦ツール</t>
  </si>
  <si>
    <t xml:space="preserve">opaque Snapshot</t>
  </si>
  <si>
    <t xml:space="preserve">判定として使う</t>
  </si>
  <si>
    <t xml:space="preserve">4 Classify</t>
  </si>
  <si>
    <t xml:space="preserve">classify()</t>
  </si>
  <si>
    <t xml:space="preserve">Flag+RouteError</t>
  </si>
  <si>
    <r>
      <rPr>
        <sz val="10"/>
        <color rgb="FF222222"/>
        <rFont val="Yu Gothic"/>
        <family val="0"/>
        <charset val="1"/>
      </rPr>
      <t xml:space="preserve">oneOf 3</t>
    </r>
    <r>
      <rPr>
        <sz val="10"/>
        <color rgb="FF222222"/>
        <rFont val="Noto Sans CJK SC"/>
        <family val="2"/>
      </rPr>
      <t xml:space="preserve">値</t>
    </r>
  </si>
  <si>
    <t xml:space="preserve">3 Classes</t>
  </si>
  <si>
    <t xml:space="preserve">局所コードを出す</t>
  </si>
  <si>
    <t xml:space="preserve">5 Egress</t>
  </si>
  <si>
    <t xml:space="preserve">JSONL/xlsx/git</t>
  </si>
  <si>
    <t xml:space="preserve">派生値</t>
  </si>
  <si>
    <t xml:space="preserve">ビュー出力</t>
  </si>
  <si>
    <t xml:space="preserve">写し</t>
  </si>
  <si>
    <t xml:space="preserve">正本化</t>
  </si>
  <si>
    <r>
      <rPr>
        <b val="true"/>
        <sz val="16"/>
        <color rgb="FF111111"/>
        <rFont val="Yu Gothic"/>
        <family val="0"/>
        <charset val="1"/>
      </rPr>
      <t xml:space="preserve">Record </t>
    </r>
    <r>
      <rPr>
        <b val="true"/>
        <sz val="16"/>
        <color rgb="FF111111"/>
        <rFont val="Noto Sans CJK SC"/>
        <family val="2"/>
      </rPr>
      <t xml:space="preserve">方眼紙 — 青字</t>
    </r>
    <r>
      <rPr>
        <b val="true"/>
        <sz val="16"/>
        <color rgb="FF111111"/>
        <rFont val="Yu Gothic"/>
        <family val="0"/>
        <charset val="1"/>
      </rPr>
      <t xml:space="preserve">=</t>
    </r>
    <r>
      <rPr>
        <b val="true"/>
        <sz val="16"/>
        <color rgb="FF111111"/>
        <rFont val="Noto Sans CJK SC"/>
        <family val="2"/>
      </rPr>
      <t xml:space="preserve">入力。</t>
    </r>
    <r>
      <rPr>
        <b val="true"/>
        <sz val="16"/>
        <color rgb="FF111111"/>
        <rFont val="Yu Gothic"/>
        <family val="0"/>
        <charset val="1"/>
      </rPr>
      <t xml:space="preserve">H–J,L </t>
    </r>
    <r>
      <rPr>
        <b val="true"/>
        <sz val="16"/>
        <color rgb="FF111111"/>
        <rFont val="Noto Sans CJK SC"/>
        <family val="2"/>
      </rPr>
      <t xml:space="preserve">は数式。</t>
    </r>
  </si>
  <si>
    <r>
      <rPr>
        <i val="true"/>
        <sz val="8"/>
        <color rgb="FF666666"/>
        <rFont val="Yu Gothic"/>
        <family val="0"/>
        <charset val="1"/>
      </rPr>
      <t xml:space="preserve">DATA_STRUCTURE.md </t>
    </r>
    <r>
      <rPr>
        <i val="true"/>
        <sz val="8"/>
        <color rgb="FF666666"/>
        <rFont val="Noto Sans CJK SC"/>
        <family val="2"/>
      </rPr>
      <t xml:space="preserve">参照。行</t>
    </r>
    <r>
      <rPr>
        <i val="true"/>
        <sz val="8"/>
        <color rgb="FF666666"/>
        <rFont val="Yu Gothic"/>
        <family val="0"/>
        <charset val="1"/>
      </rPr>
      <t xml:space="preserve">14–22</t>
    </r>
    <r>
      <rPr>
        <i val="true"/>
        <sz val="8"/>
        <color rgb="FF666666"/>
        <rFont val="Noto Sans CJK SC"/>
        <family val="2"/>
      </rPr>
      <t xml:space="preserve">は空スロット。</t>
    </r>
  </si>
  <si>
    <t xml:space="preserve">RecordId</t>
  </si>
  <si>
    <t xml:space="preserve">Timestamp</t>
  </si>
  <si>
    <t xml:space="preserve">Turn</t>
  </si>
  <si>
    <t xml:space="preserve">Intent</t>
  </si>
  <si>
    <t xml:space="preserve">ExpectedGate</t>
  </si>
  <si>
    <t xml:space="preserve">ActualGate</t>
  </si>
  <si>
    <t xml:space="preserve">GovernanceFlag</t>
  </si>
  <si>
    <t xml:space="preserve">RouteError</t>
  </si>
  <si>
    <t xml:space="preserve">RouteDelta</t>
  </si>
  <si>
    <t xml:space="preserve">Class</t>
  </si>
  <si>
    <t xml:space="preserve">Notes</t>
  </si>
  <si>
    <t xml:space="preserve">Valid</t>
  </si>
  <si>
    <t xml:space="preserve">EdgeFreq</t>
  </si>
  <si>
    <t xml:space="preserve">REC_001</t>
  </si>
  <si>
    <t xml:space="preserve">2026-09-30T00:00:00Z</t>
  </si>
  <si>
    <t xml:space="preserve">T1</t>
  </si>
  <si>
    <t xml:space="preserve">review</t>
  </si>
  <si>
    <t xml:space="preserve">A</t>
  </si>
  <si>
    <t xml:space="preserve">REC_002</t>
  </si>
  <si>
    <t xml:space="preserve">2026-09-30T00:01:00Z</t>
  </si>
  <si>
    <t xml:space="preserve">T2</t>
  </si>
  <si>
    <t xml:space="preserve">B</t>
  </si>
  <si>
    <t xml:space="preserve">REC_003</t>
  </si>
  <si>
    <t xml:space="preserve">2026-09-30T00:02:00Z</t>
  </si>
  <si>
    <t xml:space="preserve">T3</t>
  </si>
  <si>
    <t xml:space="preserve">freeze</t>
  </si>
  <si>
    <t xml:space="preserve">REC_004</t>
  </si>
  <si>
    <t xml:space="preserve">2026-09-30T00:03:00Z</t>
  </si>
  <si>
    <t xml:space="preserve">T4</t>
  </si>
  <si>
    <t xml:space="preserve">REC_005</t>
  </si>
  <si>
    <t xml:space="preserve">2026-09-30T00:04:00Z</t>
  </si>
  <si>
    <t xml:space="preserve">T5</t>
  </si>
  <si>
    <t xml:space="preserve">C</t>
  </si>
  <si>
    <t xml:space="preserve">REC_006</t>
  </si>
  <si>
    <t xml:space="preserve">2026-09-30T00:05:00Z</t>
  </si>
  <si>
    <t xml:space="preserve">T6</t>
  </si>
  <si>
    <t xml:space="preserve">REC_007</t>
  </si>
  <si>
    <t xml:space="preserve">2026-09-30T00:06:00Z</t>
  </si>
  <si>
    <t xml:space="preserve">T7</t>
  </si>
  <si>
    <t xml:space="preserve">override</t>
  </si>
  <si>
    <t xml:space="preserve">REC_008</t>
  </si>
  <si>
    <t xml:space="preserve">2026-09-30T00:07:00Z</t>
  </si>
  <si>
    <t xml:space="preserve">T8</t>
  </si>
  <si>
    <t xml:space="preserve">REC_009</t>
  </si>
  <si>
    <t xml:space="preserve">2026-09-30T00:08:00Z</t>
  </si>
  <si>
    <t xml:space="preserve">T9</t>
  </si>
  <si>
    <t xml:space="preserve">D</t>
  </si>
  <si>
    <t xml:space="preserve">REC_010</t>
  </si>
  <si>
    <t xml:space="preserve">2026-09-30T00:09:00Z</t>
  </si>
  <si>
    <t xml:space="preserve">T10</t>
  </si>
  <si>
    <r>
      <rPr>
        <b val="true"/>
        <sz val="16"/>
        <color rgb="FF111111"/>
        <rFont val="Noto Sans CJK SC"/>
        <family val="2"/>
      </rPr>
      <t xml:space="preserve">汎用 </t>
    </r>
    <r>
      <rPr>
        <b val="true"/>
        <sz val="16"/>
        <color rgb="FF111111"/>
        <rFont val="Yu Gothic"/>
        <family val="0"/>
        <charset val="1"/>
      </rPr>
      <t xml:space="preserve">3×3 — </t>
    </r>
    <r>
      <rPr>
        <b val="true"/>
        <sz val="16"/>
        <color rgb="FF111111"/>
        <rFont val="Noto Sans CJK SC"/>
        <family val="2"/>
      </rPr>
      <t xml:space="preserve">セル意味は未定義。</t>
    </r>
    <r>
      <rPr>
        <b val="true"/>
        <sz val="16"/>
        <color rgb="FF111111"/>
        <rFont val="Yu Gothic"/>
        <family val="0"/>
        <charset val="1"/>
      </rPr>
      <t xml:space="preserve">ActualGate </t>
    </r>
    <r>
      <rPr>
        <b val="true"/>
        <sz val="16"/>
        <color rgb="FF111111"/>
        <rFont val="Noto Sans CJK SC"/>
        <family val="2"/>
      </rPr>
      <t xml:space="preserve">が </t>
    </r>
    <r>
      <rPr>
        <b val="true"/>
        <sz val="16"/>
        <color rgb="FF111111"/>
        <rFont val="Yu Gothic"/>
        <family val="0"/>
        <charset val="1"/>
      </rPr>
      <t xml:space="preserve">1–9 </t>
    </r>
    <r>
      <rPr>
        <b val="true"/>
        <sz val="16"/>
        <color rgb="FF111111"/>
        <rFont val="Noto Sans CJK SC"/>
        <family val="2"/>
      </rPr>
      <t xml:space="preserve">のときだけカウント</t>
    </r>
  </si>
  <si>
    <t xml:space="preserve">cell 1</t>
  </si>
  <si>
    <t xml:space="preserve">cell 2</t>
  </si>
  <si>
    <t xml:space="preserve">cell 3</t>
  </si>
  <si>
    <t xml:space="preserve">cell 4</t>
  </si>
  <si>
    <t xml:space="preserve">cell 5</t>
  </si>
  <si>
    <t xml:space="preserve">cell 6</t>
  </si>
  <si>
    <t xml:space="preserve">cell 7</t>
  </si>
  <si>
    <t xml:space="preserve">cell 8</t>
  </si>
  <si>
    <t xml:space="preserve">cell 9</t>
  </si>
  <si>
    <r>
      <rPr>
        <sz val="10"/>
        <color rgb="FF222222"/>
        <rFont val="Noto Sans CJK SC"/>
        <family val="2"/>
      </rPr>
      <t xml:space="preserve">サンプルゲートが </t>
    </r>
    <r>
      <rPr>
        <sz val="10"/>
        <color rgb="FF222222"/>
        <rFont val="Yu Gothic"/>
        <family val="0"/>
        <charset val="1"/>
      </rPr>
      <t xml:space="preserve">A/B/C </t>
    </r>
    <r>
      <rPr>
        <sz val="10"/>
        <color rgb="FF222222"/>
        <rFont val="Noto Sans CJK SC"/>
        <family val="2"/>
      </rPr>
      <t xml:space="preserve">なら </t>
    </r>
    <r>
      <rPr>
        <sz val="10"/>
        <color rgb="FF222222"/>
        <rFont val="Yu Gothic"/>
        <family val="0"/>
        <charset val="1"/>
      </rPr>
      <t xml:space="preserve">0 </t>
    </r>
    <r>
      <rPr>
        <sz val="10"/>
        <color rgb="FF222222"/>
        <rFont val="Noto Sans CJK SC"/>
        <family val="2"/>
      </rPr>
      <t xml:space="preserve">のままが正しい。対応表は公開層に置かない。</t>
    </r>
  </si>
  <si>
    <t xml:space="preserve">軌道集計と面バンド</t>
  </si>
  <si>
    <t xml:space="preserve">total</t>
  </si>
  <si>
    <t xml:space="preserve">n</t>
  </si>
  <si>
    <t xml:space="preserve">distinct_edges</t>
  </si>
  <si>
    <t xml:space="preserve">GOVERNANCE</t>
  </si>
  <si>
    <t xml:space="preserve">STABLE_LT</t>
  </si>
  <si>
    <t xml:space="preserve">公開デフォルト。変更は自己責任。</t>
  </si>
  <si>
    <t xml:space="preserve">BOUNDARY</t>
  </si>
  <si>
    <t xml:space="preserve">LOCKED_GE</t>
  </si>
  <si>
    <t xml:space="preserve">NORMAL</t>
  </si>
  <si>
    <r>
      <rPr>
        <i val="true"/>
        <sz val="8"/>
        <color rgb="FF666666"/>
        <rFont val="Yu Gothic"/>
        <family val="0"/>
        <charset val="1"/>
      </rPr>
      <t xml:space="preserve">UNIQUE/FILTER </t>
    </r>
    <r>
      <rPr>
        <i val="true"/>
        <sz val="8"/>
        <color rgb="FF666666"/>
        <rFont val="Noto Sans CJK SC"/>
        <family val="2"/>
      </rPr>
      <t xml:space="preserve">は使わない。</t>
    </r>
    <r>
      <rPr>
        <i val="true"/>
        <sz val="8"/>
        <color rgb="FF666666"/>
        <rFont val="Yu Gothic"/>
        <family val="0"/>
        <charset val="1"/>
      </rPr>
      <t xml:space="preserve">max_count </t>
    </r>
    <r>
      <rPr>
        <i val="true"/>
        <sz val="8"/>
        <color rgb="FF666666"/>
        <rFont val="Noto Sans CJK SC"/>
        <family val="2"/>
      </rPr>
      <t xml:space="preserve">は </t>
    </r>
    <r>
      <rPr>
        <i val="true"/>
        <sz val="8"/>
        <color rgb="FF666666"/>
        <rFont val="Yu Gothic"/>
        <family val="0"/>
        <charset val="1"/>
      </rPr>
      <t xml:space="preserve">02_RECORD!M4:M22 (EdgeFreq=COUNTIF) </t>
    </r>
    <r>
      <rPr>
        <i val="true"/>
        <sz val="8"/>
        <color rgb="FF666666"/>
        <rFont val="Noto Sans CJK SC"/>
        <family val="2"/>
      </rPr>
      <t xml:space="preserve">の最大。</t>
    </r>
  </si>
  <si>
    <t xml:space="preserve">max_count</t>
  </si>
  <si>
    <t xml:space="preserve">dominant_ratio</t>
  </si>
  <si>
    <t xml:space="preserve">Surface</t>
  </si>
  <si>
    <t xml:space="preserve">分類表（公開・排他）</t>
  </si>
  <si>
    <t xml:space="preserve">意味</t>
  </si>
  <si>
    <t xml:space="preserve">any</t>
  </si>
  <si>
    <t xml:space="preserve">制御してよいか</t>
  </si>
  <si>
    <t xml:space="preserve">どこへ送ったか</t>
  </si>
  <si>
    <t xml:space="preserve">残余</t>
  </si>
  <si>
    <r>
      <rPr>
        <sz val="11"/>
        <color theme="1"/>
        <rFont val="Calibri"/>
        <family val="2"/>
        <charset val="1"/>
      </rPr>
      <t xml:space="preserve">local_code = consumer.bind(Class, catalog)  —  </t>
    </r>
    <r>
      <rPr>
        <sz val="11"/>
        <color theme="1"/>
        <rFont val="Noto Sans CJK SC"/>
        <family val="2"/>
      </rPr>
      <t xml:space="preserve">公開出力は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値で停止。</t>
    </r>
  </si>
  <si>
    <r>
      <rPr>
        <b val="true"/>
        <sz val="16"/>
        <color rgb="FF111111"/>
        <rFont val="Yu Gothic"/>
        <family val="0"/>
        <charset val="1"/>
      </rPr>
      <t xml:space="preserve">64</t>
    </r>
    <r>
      <rPr>
        <b val="true"/>
        <sz val="16"/>
        <color rgb="FF111111"/>
        <rFont val="Noto Sans CJK SC"/>
        <family val="2"/>
      </rPr>
      <t xml:space="preserve">卦スナップショット — 既存ツールカスタム（自己責任）</t>
    </r>
  </si>
  <si>
    <r>
      <rPr>
        <sz val="11"/>
        <color theme="1"/>
        <rFont val="Noto Sans CJK SC"/>
        <family val="2"/>
      </rPr>
      <t xml:space="preserve">エンジン非同梱。</t>
    </r>
    <r>
      <rPr>
        <sz val="11"/>
        <color theme="1"/>
        <rFont val="Calibri"/>
        <family val="2"/>
        <charset val="1"/>
      </rPr>
      <t xml:space="preserve">surface </t>
    </r>
    <r>
      <rPr>
        <sz val="11"/>
        <color theme="1"/>
        <rFont val="Noto Sans CJK SC"/>
        <family val="2"/>
      </rPr>
      <t xml:space="preserve">と </t>
    </r>
    <r>
      <rPr>
        <sz val="11"/>
        <color theme="1"/>
        <rFont val="Calibri"/>
        <family val="2"/>
        <charset val="1"/>
      </rPr>
      <t xml:space="preserve">counts </t>
    </r>
    <r>
      <rPr>
        <sz val="11"/>
        <color theme="1"/>
        <rFont val="Noto Sans CJK SC"/>
        <family val="2"/>
      </rPr>
      <t xml:space="preserve">だけ渡す。返却文字列を </t>
    </r>
    <r>
      <rPr>
        <sz val="11"/>
        <color theme="1"/>
        <rFont val="Calibri"/>
        <family val="2"/>
        <charset val="1"/>
      </rPr>
      <t xml:space="preserve">Snapshot </t>
    </r>
    <r>
      <rPr>
        <sz val="11"/>
        <color theme="1"/>
        <rFont val="Noto Sans CJK SC"/>
        <family val="2"/>
      </rPr>
      <t xml:space="preserve">に貼る。
重み付け・運用・解釈はオペレータ。卦は監査判定ではない。</t>
    </r>
  </si>
  <si>
    <t xml:space="preserve">Surface (from 04)</t>
  </si>
  <si>
    <t xml:space="preserve">Snapshot (paste)</t>
  </si>
  <si>
    <t xml:space="preserve">Tool name / version</t>
  </si>
  <si>
    <t xml:space="preserve">Operator accepts weights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</si>
</sst>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111"/>
      <name val="Yu Gothic"/>
      <family val="0"/>
      <charset val="1"/>
    </font>
    <font>
      <b val="true"/>
      <sz val="16"/>
      <color rgb="FF111111"/>
      <name val="Noto Sans CJK SC"/>
      <family val="2"/>
    </font>
    <font>
      <b val="true"/>
      <sz val="11"/>
      <color rgb="FF333333"/>
      <name val="Yu Gothic"/>
      <family val="0"/>
      <charset val="1"/>
    </font>
    <font>
      <b val="true"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Yu Gothic"/>
      <family val="0"/>
      <charset val="1"/>
    </font>
    <font>
      <i val="true"/>
      <sz val="8"/>
      <color rgb="FF666666"/>
      <name val="Yu Gothic"/>
      <family val="0"/>
      <charset val="1"/>
    </font>
    <font>
      <b val="true"/>
      <sz val="10"/>
      <color rgb="FFFFFFFF"/>
      <name val="Noto Sans CJK SC"/>
      <family val="2"/>
    </font>
    <font>
      <i val="true"/>
      <sz val="8"/>
      <color rgb="FF666666"/>
      <name val="Noto Sans CJK SC"/>
      <family val="2"/>
    </font>
    <font>
      <b val="true"/>
      <sz val="10"/>
      <color rgb="FFFFFFFF"/>
      <name val="Yu Gothic"/>
      <family val="0"/>
      <charset val="1"/>
    </font>
    <font>
      <sz val="10"/>
      <color rgb="FF0000FF"/>
      <name val="Yu Gothic"/>
      <family val="0"/>
      <charset val="1"/>
    </font>
    <font>
      <b val="true"/>
      <sz val="10"/>
      <color rgb="FF222222"/>
      <name val="Yu Gothic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theme="1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0E2F3"/>
      </patternFill>
    </fill>
    <fill>
      <patternFill patternType="solid">
        <fgColor rgb="FFFFF3B0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EEF3F8"/>
        <bgColor rgb="FFF7F7F4"/>
      </patternFill>
    </fill>
    <fill>
      <patternFill patternType="solid">
        <fgColor rgb="FFF7F7F4"/>
        <bgColor rgb="FFF9F9F9"/>
      </patternFill>
    </fill>
    <fill>
      <patternFill patternType="solid">
        <fgColor rgb="FFD0E2F3"/>
        <bgColor rgb="FFD9D9D9"/>
      </patternFill>
    </fill>
    <fill>
      <patternFill patternType="solid">
        <fgColor rgb="FFFFF2CC"/>
        <bgColor rgb="FFFFF3B0"/>
      </patternFill>
    </fill>
    <fill>
      <patternFill patternType="solid">
        <fgColor rgb="FFF4C7C3"/>
        <bgColor rgb="FFD9D9D9"/>
      </patternFill>
    </fill>
    <fill>
      <patternFill patternType="solid">
        <fgColor rgb="FFFCE4B3"/>
        <bgColor rgb="FFFFF3B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4B3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4B3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FF2CC"/>
      <rgbColor rgb="FFEEF3F8"/>
      <rgbColor rgb="FF660066"/>
      <rgbColor rgb="FFFF8080"/>
      <rgbColor rgb="FF0066CC"/>
      <rgbColor rgb="FFD0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4"/>
      <rgbColor rgb="FFD9EAD3"/>
      <rgbColor rgb="FFFFF3B0"/>
      <rgbColor rgb="FFD9D9D9"/>
      <rgbColor rgb="FFFCE4B3"/>
      <rgbColor rgb="FFF9F9F9"/>
      <rgbColor rgb="FFF4C7C3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222222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Class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04_SURFACE!F3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04_SURFACE!$E$4:$E$6</c:f>
              <c:strCache>
                <c:ptCount val="3"/>
                <c:pt idx="0">
                  <c:v>GOVERNANCE</c:v>
                </c:pt>
                <c:pt idx="1">
                  <c:v>BOUNDARY</c:v>
                </c:pt>
                <c:pt idx="2">
                  <c:v>NORMAL</c:v>
                </c:pt>
              </c:strCache>
            </c:strRef>
          </c:cat>
          <c:val>
            <c:numRef>
              <c:f>04_SURFACE!$F$4:$F$6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95124004"/>
        <c:axId val="25659602"/>
      </c:barChart>
      <c:catAx>
        <c:axId val="95124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59602"/>
        <c:crosses val="autoZero"/>
        <c:auto val="1"/>
        <c:lblAlgn val="ctr"/>
        <c:lblOffset val="100"/>
        <c:noMultiLvlLbl val="0"/>
      </c:catAx>
      <c:valAx>
        <c:axId val="2565960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24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342360</xdr:rowOff>
    </xdr:from>
    <xdr:to>
      <xdr:col>11</xdr:col>
      <xdr:colOff>38880</xdr:colOff>
      <xdr:row>16</xdr:row>
      <xdr:rowOff>46440</xdr:rowOff>
    </xdr:to>
    <xdr:graphicFrame>
      <xdr:nvGraphicFramePr>
        <xdr:cNvPr id="0" name="Chart 1"/>
        <xdr:cNvGraphicFramePr/>
      </xdr:nvGraphicFramePr>
      <xdr:xfrm>
        <a:off x="5827320" y="1333440"/>
        <a:ext cx="43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P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8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8" customFormat="false" ht="15" hidden="false" customHeight="false" outlineLevel="0" collapsed="false">
      <c r="B8" s="3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5" hidden="false" customHeight="false" outlineLevel="0" collapsed="false">
      <c r="B9" s="4" t="s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1" customFormat="false" ht="15" hidden="false" customHeight="false" outlineLevel="0" collapsed="false">
      <c r="B11" s="5" t="s">
        <v>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B12" s="4" t="s">
        <v>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4" customFormat="false" ht="15" hidden="false" customHeight="false" outlineLevel="0" collapsed="false">
      <c r="B14" s="6" t="s">
        <v>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15" hidden="false" customHeight="false" outlineLevel="0" collapsed="false">
      <c r="B15" s="4" t="s">
        <v>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7" customFormat="false" ht="15" hidden="false" customHeight="false" outlineLevel="0" collapsed="false">
      <c r="B17" s="6" t="s">
        <v>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5" hidden="false" customHeight="false" outlineLevel="0" collapsed="false">
      <c r="B18" s="7" t="s">
        <v>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1" customFormat="false" ht="15" hidden="false" customHeight="false" outlineLevel="0" collapsed="false">
      <c r="B21" s="8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15" hidden="false" customHeight="false" outlineLevel="0" collapsed="false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</sheetData>
  <mergeCells count="11">
    <mergeCell ref="B2:P3"/>
    <mergeCell ref="B5:P6"/>
    <mergeCell ref="B8:P8"/>
    <mergeCell ref="B9:P9"/>
    <mergeCell ref="B11:P11"/>
    <mergeCell ref="B12:P12"/>
    <mergeCell ref="B14:P14"/>
    <mergeCell ref="B15:P15"/>
    <mergeCell ref="B17:P17"/>
    <mergeCell ref="B18:P18"/>
    <mergeCell ref="B21:P2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&amp;L00_COVER</oddHeader>
    <oddFooter>&amp;LDebugShrine PUBLIC v1.0  |  hexagram weights = operator&amp;RPage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19.7" hidden="false" customHeight="false" outlineLevel="0" collapsed="false">
      <c r="A1" s="9" t="s">
        <v>11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</row>
    <row r="4" customFormat="false" ht="27.75" hidden="false" customHeight="true" outlineLevel="0" collapsed="false">
      <c r="A4" s="11" t="s">
        <v>18</v>
      </c>
      <c r="B4" s="11" t="s">
        <v>19</v>
      </c>
      <c r="C4" s="12" t="s">
        <v>20</v>
      </c>
      <c r="D4" s="12" t="s">
        <v>21</v>
      </c>
      <c r="E4" s="11" t="s">
        <v>22</v>
      </c>
      <c r="F4" s="11" t="s">
        <v>23</v>
      </c>
    </row>
    <row r="5" customFormat="false" ht="27.75" hidden="false" customHeight="true" outlineLevel="0" collapsed="false">
      <c r="A5" s="13" t="s">
        <v>24</v>
      </c>
      <c r="B5" s="13" t="s">
        <v>25</v>
      </c>
      <c r="C5" s="13" t="s">
        <v>22</v>
      </c>
      <c r="D5" s="13" t="s">
        <v>26</v>
      </c>
      <c r="E5" s="13" t="s">
        <v>27</v>
      </c>
      <c r="F5" s="14" t="s">
        <v>28</v>
      </c>
    </row>
    <row r="6" customFormat="false" ht="27.75" hidden="false" customHeight="true" outlineLevel="0" collapsed="false">
      <c r="A6" s="11" t="s">
        <v>29</v>
      </c>
      <c r="B6" s="11" t="s">
        <v>30</v>
      </c>
      <c r="C6" s="11" t="s">
        <v>31</v>
      </c>
      <c r="D6" s="11" t="s">
        <v>32</v>
      </c>
      <c r="E6" s="11" t="s">
        <v>33</v>
      </c>
      <c r="F6" s="12" t="s">
        <v>34</v>
      </c>
    </row>
    <row r="7" customFormat="false" ht="27.75" hidden="false" customHeight="true" outlineLevel="0" collapsed="false">
      <c r="A7" s="13" t="s">
        <v>35</v>
      </c>
      <c r="B7" s="13" t="s">
        <v>36</v>
      </c>
      <c r="C7" s="13" t="s">
        <v>37</v>
      </c>
      <c r="D7" s="14" t="s">
        <v>38</v>
      </c>
      <c r="E7" s="13" t="s">
        <v>39</v>
      </c>
      <c r="F7" s="14" t="s">
        <v>40</v>
      </c>
    </row>
    <row r="8" customFormat="false" ht="27.75" hidden="false" customHeight="true" outlineLevel="0" collapsed="false">
      <c r="A8" s="11" t="s">
        <v>41</v>
      </c>
      <c r="B8" s="11" t="s">
        <v>42</v>
      </c>
      <c r="C8" s="11" t="s">
        <v>43</v>
      </c>
      <c r="D8" s="11" t="s">
        <v>44</v>
      </c>
      <c r="E8" s="11" t="s">
        <v>45</v>
      </c>
      <c r="F8" s="12" t="s">
        <v>46</v>
      </c>
    </row>
    <row r="9" customFormat="false" ht="27.75" hidden="false" customHeight="true" outlineLevel="0" collapsed="false">
      <c r="A9" s="13" t="s">
        <v>47</v>
      </c>
      <c r="B9" s="13" t="s">
        <v>48</v>
      </c>
      <c r="C9" s="14" t="s">
        <v>49</v>
      </c>
      <c r="D9" s="14" t="s">
        <v>50</v>
      </c>
      <c r="E9" s="14" t="s">
        <v>51</v>
      </c>
      <c r="F9" s="14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&amp;L01_FLOW</oddHeader>
    <oddFooter>&amp;LDebugShrine PUBLIC v1.0  |  hexagram weights = operator&amp;RPage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7" min="4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23.85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4" hidden="false" customHeight="false" outlineLevel="0" collapsed="false">
      <c r="A2" s="8" t="s">
        <v>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28.35" hidden="false" customHeight="false" outlineLevel="0" collapsed="false">
      <c r="A3" s="15" t="s">
        <v>55</v>
      </c>
      <c r="B3" s="15" t="s">
        <v>56</v>
      </c>
      <c r="C3" s="15" t="s">
        <v>57</v>
      </c>
      <c r="D3" s="15" t="s">
        <v>58</v>
      </c>
      <c r="E3" s="15" t="s">
        <v>59</v>
      </c>
      <c r="F3" s="15" t="s">
        <v>60</v>
      </c>
      <c r="G3" s="15" t="s">
        <v>61</v>
      </c>
      <c r="H3" s="15" t="s">
        <v>62</v>
      </c>
      <c r="I3" s="15" t="s">
        <v>63</v>
      </c>
      <c r="J3" s="15" t="s">
        <v>64</v>
      </c>
      <c r="K3" s="15" t="s">
        <v>65</v>
      </c>
      <c r="L3" s="15" t="s">
        <v>66</v>
      </c>
      <c r="M3" s="15" t="s">
        <v>67</v>
      </c>
    </row>
    <row r="4" customFormat="false" ht="15" hidden="false" customHeight="false" outlineLevel="0" collapsed="false">
      <c r="A4" s="16" t="s">
        <v>68</v>
      </c>
      <c r="B4" s="16" t="s">
        <v>69</v>
      </c>
      <c r="C4" s="16" t="s">
        <v>70</v>
      </c>
      <c r="D4" s="16" t="s">
        <v>71</v>
      </c>
      <c r="E4" s="16" t="s">
        <v>72</v>
      </c>
      <c r="F4" s="16" t="s">
        <v>72</v>
      </c>
      <c r="G4" s="17" t="b">
        <f aca="false">FALSE()</f>
        <v>0</v>
      </c>
      <c r="H4" s="18" t="b">
        <f aca="false">IF(OR(E4="",F4=""),"",E4&lt;&gt;F4)</f>
        <v>0</v>
      </c>
      <c r="I4" s="19" t="str">
        <f aca="false">IF(OR(E4="",F4=""),"",E4&amp;"→"&amp;F4)</f>
        <v>A→A</v>
      </c>
      <c r="J4" s="19" t="str">
        <f aca="false">IF(G4="","",IF(G4=TRUE(),"GOVERNANCE",IF(H4=TRUE(),"BOUNDARY","NORMAL")))</f>
        <v>NORMAL</v>
      </c>
      <c r="K4" s="19"/>
      <c r="L4" s="19" t="str">
        <f aca="false">IF(OR(E4="",F4="",G4=""),"WAIT",IF(AND(J4="GOVERNANCE",G4=TRUE()),"OK",IF(AND(J4="BOUNDARY",G4=FALSE(),H4=TRUE()),"OK",IF(AND(J4="NORMAL",G4=FALSE(),H4=FALSE()),"OK","FAIL"))))</f>
        <v>OK</v>
      </c>
      <c r="M4" s="19" t="n">
        <f aca="false">IF(I4="","",COUNTIF($I$4:$I$22,I4))</f>
        <v>1</v>
      </c>
    </row>
    <row r="5" customFormat="false" ht="15" hidden="false" customHeight="false" outlineLevel="0" collapsed="false">
      <c r="A5" s="16" t="s">
        <v>73</v>
      </c>
      <c r="B5" s="16" t="s">
        <v>74</v>
      </c>
      <c r="C5" s="16" t="s">
        <v>75</v>
      </c>
      <c r="D5" s="16" t="s">
        <v>71</v>
      </c>
      <c r="E5" s="16" t="s">
        <v>72</v>
      </c>
      <c r="F5" s="16" t="s">
        <v>76</v>
      </c>
      <c r="G5" s="17" t="b">
        <f aca="false">FALSE()</f>
        <v>0</v>
      </c>
      <c r="H5" s="18" t="b">
        <f aca="false">IF(OR(E5="",F5=""),"",E5&lt;&gt;F5)</f>
        <v>1</v>
      </c>
      <c r="I5" s="19" t="str">
        <f aca="false">IF(OR(E5="",F5=""),"",E5&amp;"→"&amp;F5)</f>
        <v>A→B</v>
      </c>
      <c r="J5" s="19" t="str">
        <f aca="false">IF(G5="","",IF(G5=TRUE(),"GOVERNANCE",IF(H5=TRUE(),"BOUNDARY","NORMAL")))</f>
        <v>BOUNDARY</v>
      </c>
      <c r="K5" s="19"/>
      <c r="L5" s="19" t="str">
        <f aca="false">IF(OR(E5="",F5="",G5=""),"WAIT",IF(AND(J5="GOVERNANCE",G5=TRUE()),"OK",IF(AND(J5="BOUNDARY",G5=FALSE(),H5=TRUE()),"OK",IF(AND(J5="NORMAL",G5=FALSE(),H5=FALSE()),"OK","FAIL"))))</f>
        <v>OK</v>
      </c>
      <c r="M5" s="19" t="n">
        <f aca="false">IF(I5="","",COUNTIF($I$4:$I$22,I5))</f>
        <v>6</v>
      </c>
    </row>
    <row r="6" customFormat="false" ht="15" hidden="false" customHeight="false" outlineLevel="0" collapsed="false">
      <c r="A6" s="16" t="s">
        <v>77</v>
      </c>
      <c r="B6" s="16" t="s">
        <v>78</v>
      </c>
      <c r="C6" s="16" t="s">
        <v>79</v>
      </c>
      <c r="D6" s="16" t="s">
        <v>80</v>
      </c>
      <c r="E6" s="16" t="s">
        <v>72</v>
      </c>
      <c r="F6" s="16" t="s">
        <v>76</v>
      </c>
      <c r="G6" s="17" t="b">
        <f aca="false">TRUE()</f>
        <v>1</v>
      </c>
      <c r="H6" s="18" t="b">
        <f aca="false">IF(OR(E6="",F6=""),"",E6&lt;&gt;F6)</f>
        <v>1</v>
      </c>
      <c r="I6" s="19" t="str">
        <f aca="false">IF(OR(E6="",F6=""),"",E6&amp;"→"&amp;F6)</f>
        <v>A→B</v>
      </c>
      <c r="J6" s="19" t="str">
        <f aca="false">IF(G6="","",IF(G6=TRUE(),"GOVERNANCE",IF(H6=TRUE(),"BOUNDARY","NORMAL")))</f>
        <v>GOVERNANCE</v>
      </c>
      <c r="K6" s="19"/>
      <c r="L6" s="19" t="str">
        <f aca="false">IF(OR(E6="",F6="",G6=""),"WAIT",IF(AND(J6="GOVERNANCE",G6=TRUE()),"OK",IF(AND(J6="BOUNDARY",G6=FALSE(),H6=TRUE()),"OK",IF(AND(J6="NORMAL",G6=FALSE(),H6=FALSE()),"OK","FAIL"))))</f>
        <v>OK</v>
      </c>
      <c r="M6" s="19" t="n">
        <f aca="false">IF(I6="","",COUNTIF($I$4:$I$22,I6))</f>
        <v>6</v>
      </c>
    </row>
    <row r="7" customFormat="false" ht="15" hidden="false" customHeight="false" outlineLevel="0" collapsed="false">
      <c r="A7" s="16" t="s">
        <v>81</v>
      </c>
      <c r="B7" s="16" t="s">
        <v>82</v>
      </c>
      <c r="C7" s="16" t="s">
        <v>83</v>
      </c>
      <c r="D7" s="16" t="s">
        <v>71</v>
      </c>
      <c r="E7" s="16" t="s">
        <v>72</v>
      </c>
      <c r="F7" s="16" t="s">
        <v>76</v>
      </c>
      <c r="G7" s="17" t="b">
        <f aca="false">FALSE()</f>
        <v>0</v>
      </c>
      <c r="H7" s="18" t="b">
        <f aca="false">IF(OR(E7="",F7=""),"",E7&lt;&gt;F7)</f>
        <v>1</v>
      </c>
      <c r="I7" s="19" t="str">
        <f aca="false">IF(OR(E7="",F7=""),"",E7&amp;"→"&amp;F7)</f>
        <v>A→B</v>
      </c>
      <c r="J7" s="19" t="str">
        <f aca="false">IF(G7="","",IF(G7=TRUE(),"GOVERNANCE",IF(H7=TRUE(),"BOUNDARY","NORMAL")))</f>
        <v>BOUNDARY</v>
      </c>
      <c r="K7" s="19"/>
      <c r="L7" s="19" t="str">
        <f aca="false">IF(OR(E7="",F7="",G7=""),"WAIT",IF(AND(J7="GOVERNANCE",G7=TRUE()),"OK",IF(AND(J7="BOUNDARY",G7=FALSE(),H7=TRUE()),"OK",IF(AND(J7="NORMAL",G7=FALSE(),H7=FALSE()),"OK","FAIL"))))</f>
        <v>OK</v>
      </c>
      <c r="M7" s="19" t="n">
        <f aca="false">IF(I7="","",COUNTIF($I$4:$I$22,I7))</f>
        <v>6</v>
      </c>
    </row>
    <row r="8" customFormat="false" ht="15" hidden="false" customHeight="false" outlineLevel="0" collapsed="false">
      <c r="A8" s="16" t="s">
        <v>84</v>
      </c>
      <c r="B8" s="16" t="s">
        <v>85</v>
      </c>
      <c r="C8" s="16" t="s">
        <v>86</v>
      </c>
      <c r="D8" s="16" t="s">
        <v>71</v>
      </c>
      <c r="E8" s="16" t="s">
        <v>87</v>
      </c>
      <c r="F8" s="16" t="s">
        <v>87</v>
      </c>
      <c r="G8" s="17" t="b">
        <f aca="false">FALSE()</f>
        <v>0</v>
      </c>
      <c r="H8" s="18" t="b">
        <f aca="false">IF(OR(E8="",F8=""),"",E8&lt;&gt;F8)</f>
        <v>0</v>
      </c>
      <c r="I8" s="19" t="str">
        <f aca="false">IF(OR(E8="",F8=""),"",E8&amp;"→"&amp;F8)</f>
        <v>C→C</v>
      </c>
      <c r="J8" s="19" t="str">
        <f aca="false">IF(G8="","",IF(G8=TRUE(),"GOVERNANCE",IF(H8=TRUE(),"BOUNDARY","NORMAL")))</f>
        <v>NORMAL</v>
      </c>
      <c r="K8" s="19"/>
      <c r="L8" s="19" t="str">
        <f aca="false">IF(OR(E8="",F8="",G8=""),"WAIT",IF(AND(J8="GOVERNANCE",G8=TRUE()),"OK",IF(AND(J8="BOUNDARY",G8=FALSE(),H8=TRUE()),"OK",IF(AND(J8="NORMAL",G8=FALSE(),H8=FALSE()),"OK","FAIL"))))</f>
        <v>OK</v>
      </c>
      <c r="M8" s="19" t="n">
        <f aca="false">IF(I8="","",COUNTIF($I$4:$I$22,I8))</f>
        <v>1</v>
      </c>
    </row>
    <row r="9" customFormat="false" ht="15" hidden="false" customHeight="false" outlineLevel="0" collapsed="false">
      <c r="A9" s="16" t="s">
        <v>88</v>
      </c>
      <c r="B9" s="16" t="s">
        <v>89</v>
      </c>
      <c r="C9" s="16" t="s">
        <v>90</v>
      </c>
      <c r="D9" s="16" t="s">
        <v>71</v>
      </c>
      <c r="E9" s="16" t="s">
        <v>72</v>
      </c>
      <c r="F9" s="16" t="s">
        <v>76</v>
      </c>
      <c r="G9" s="17" t="b">
        <f aca="false">FALSE()</f>
        <v>0</v>
      </c>
      <c r="H9" s="18" t="b">
        <f aca="false">IF(OR(E9="",F9=""),"",E9&lt;&gt;F9)</f>
        <v>1</v>
      </c>
      <c r="I9" s="19" t="str">
        <f aca="false">IF(OR(E9="",F9=""),"",E9&amp;"→"&amp;F9)</f>
        <v>A→B</v>
      </c>
      <c r="J9" s="19" t="str">
        <f aca="false">IF(G9="","",IF(G9=TRUE(),"GOVERNANCE",IF(H9=TRUE(),"BOUNDARY","NORMAL")))</f>
        <v>BOUNDARY</v>
      </c>
      <c r="K9" s="19"/>
      <c r="L9" s="19" t="str">
        <f aca="false">IF(OR(E9="",F9="",G9=""),"WAIT",IF(AND(J9="GOVERNANCE",G9=TRUE()),"OK",IF(AND(J9="BOUNDARY",G9=FALSE(),H9=TRUE()),"OK",IF(AND(J9="NORMAL",G9=FALSE(),H9=FALSE()),"OK","FAIL"))))</f>
        <v>OK</v>
      </c>
      <c r="M9" s="19" t="n">
        <f aca="false">IF(I9="","",COUNTIF($I$4:$I$22,I9))</f>
        <v>6</v>
      </c>
    </row>
    <row r="10" customFormat="false" ht="15" hidden="false" customHeight="false" outlineLevel="0" collapsed="false">
      <c r="A10" s="16" t="s">
        <v>91</v>
      </c>
      <c r="B10" s="16" t="s">
        <v>92</v>
      </c>
      <c r="C10" s="16" t="s">
        <v>93</v>
      </c>
      <c r="D10" s="16" t="s">
        <v>94</v>
      </c>
      <c r="E10" s="16" t="s">
        <v>76</v>
      </c>
      <c r="F10" s="16" t="s">
        <v>76</v>
      </c>
      <c r="G10" s="17" t="b">
        <f aca="false">TRUE()</f>
        <v>1</v>
      </c>
      <c r="H10" s="18" t="b">
        <f aca="false">IF(OR(E10="",F10=""),"",E10&lt;&gt;F10)</f>
        <v>0</v>
      </c>
      <c r="I10" s="19" t="str">
        <f aca="false">IF(OR(E10="",F10=""),"",E10&amp;"→"&amp;F10)</f>
        <v>B→B</v>
      </c>
      <c r="J10" s="19" t="str">
        <f aca="false">IF(G10="","",IF(G10=TRUE(),"GOVERNANCE",IF(H10=TRUE(),"BOUNDARY","NORMAL")))</f>
        <v>GOVERNANCE</v>
      </c>
      <c r="K10" s="19"/>
      <c r="L10" s="19" t="str">
        <f aca="false">IF(OR(E10="",F10="",G10=""),"WAIT",IF(AND(J10="GOVERNANCE",G10=TRUE()),"OK",IF(AND(J10="BOUNDARY",G10=FALSE(),H10=TRUE()),"OK",IF(AND(J10="NORMAL",G10=FALSE(),H10=FALSE()),"OK","FAIL"))))</f>
        <v>OK</v>
      </c>
      <c r="M10" s="19" t="n">
        <f aca="false">IF(I10="","",COUNTIF($I$4:$I$22,I10))</f>
        <v>1</v>
      </c>
    </row>
    <row r="11" customFormat="false" ht="15" hidden="false" customHeight="false" outlineLevel="0" collapsed="false">
      <c r="A11" s="16" t="s">
        <v>95</v>
      </c>
      <c r="B11" s="16" t="s">
        <v>96</v>
      </c>
      <c r="C11" s="16" t="s">
        <v>97</v>
      </c>
      <c r="D11" s="16" t="s">
        <v>71</v>
      </c>
      <c r="E11" s="16" t="s">
        <v>72</v>
      </c>
      <c r="F11" s="16" t="s">
        <v>76</v>
      </c>
      <c r="G11" s="17" t="b">
        <f aca="false">FALSE()</f>
        <v>0</v>
      </c>
      <c r="H11" s="18" t="b">
        <f aca="false">IF(OR(E11="",F11=""),"",E11&lt;&gt;F11)</f>
        <v>1</v>
      </c>
      <c r="I11" s="19" t="str">
        <f aca="false">IF(OR(E11="",F11=""),"",E11&amp;"→"&amp;F11)</f>
        <v>A→B</v>
      </c>
      <c r="J11" s="19" t="str">
        <f aca="false">IF(G11="","",IF(G11=TRUE(),"GOVERNANCE",IF(H11=TRUE(),"BOUNDARY","NORMAL")))</f>
        <v>BOUNDARY</v>
      </c>
      <c r="K11" s="19"/>
      <c r="L11" s="19" t="str">
        <f aca="false">IF(OR(E11="",F11="",G11=""),"WAIT",IF(AND(J11="GOVERNANCE",G11=TRUE()),"OK",IF(AND(J11="BOUNDARY",G11=FALSE(),H11=TRUE()),"OK",IF(AND(J11="NORMAL",G11=FALSE(),H11=FALSE()),"OK","FAIL"))))</f>
        <v>OK</v>
      </c>
      <c r="M11" s="19" t="n">
        <f aca="false">IF(I11="","",COUNTIF($I$4:$I$22,I11))</f>
        <v>6</v>
      </c>
    </row>
    <row r="12" customFormat="false" ht="15" hidden="false" customHeight="false" outlineLevel="0" collapsed="false">
      <c r="A12" s="16" t="s">
        <v>98</v>
      </c>
      <c r="B12" s="16" t="s">
        <v>99</v>
      </c>
      <c r="C12" s="16" t="s">
        <v>100</v>
      </c>
      <c r="D12" s="16" t="s">
        <v>71</v>
      </c>
      <c r="E12" s="16" t="s">
        <v>72</v>
      </c>
      <c r="F12" s="16" t="s">
        <v>101</v>
      </c>
      <c r="G12" s="17" t="b">
        <f aca="false">FALSE()</f>
        <v>0</v>
      </c>
      <c r="H12" s="18" t="b">
        <f aca="false">IF(OR(E12="",F12=""),"",E12&lt;&gt;F12)</f>
        <v>1</v>
      </c>
      <c r="I12" s="19" t="str">
        <f aca="false">IF(OR(E12="",F12=""),"",E12&amp;"→"&amp;F12)</f>
        <v>A→D</v>
      </c>
      <c r="J12" s="19" t="str">
        <f aca="false">IF(G12="","",IF(G12=TRUE(),"GOVERNANCE",IF(H12=TRUE(),"BOUNDARY","NORMAL")))</f>
        <v>BOUNDARY</v>
      </c>
      <c r="K12" s="19"/>
      <c r="L12" s="19" t="str">
        <f aca="false">IF(OR(E12="",F12="",G12=""),"WAIT",IF(AND(J12="GOVERNANCE",G12=TRUE()),"OK",IF(AND(J12="BOUNDARY",G12=FALSE(),H12=TRUE()),"OK",IF(AND(J12="NORMAL",G12=FALSE(),H12=FALSE()),"OK","FAIL"))))</f>
        <v>OK</v>
      </c>
      <c r="M12" s="19" t="n">
        <f aca="false">IF(I12="","",COUNTIF($I$4:$I$22,I12))</f>
        <v>1</v>
      </c>
    </row>
    <row r="13" customFormat="false" ht="15" hidden="false" customHeight="false" outlineLevel="0" collapsed="false">
      <c r="A13" s="16" t="s">
        <v>102</v>
      </c>
      <c r="B13" s="16" t="s">
        <v>103</v>
      </c>
      <c r="C13" s="16" t="s">
        <v>104</v>
      </c>
      <c r="D13" s="16" t="s">
        <v>71</v>
      </c>
      <c r="E13" s="16" t="s">
        <v>72</v>
      </c>
      <c r="F13" s="16" t="s">
        <v>76</v>
      </c>
      <c r="G13" s="17" t="b">
        <f aca="false">FALSE()</f>
        <v>0</v>
      </c>
      <c r="H13" s="18" t="b">
        <f aca="false">IF(OR(E13="",F13=""),"",E13&lt;&gt;F13)</f>
        <v>1</v>
      </c>
      <c r="I13" s="19" t="str">
        <f aca="false">IF(OR(E13="",F13=""),"",E13&amp;"→"&amp;F13)</f>
        <v>A→B</v>
      </c>
      <c r="J13" s="19" t="str">
        <f aca="false">IF(G13="","",IF(G13=TRUE(),"GOVERNANCE",IF(H13=TRUE(),"BOUNDARY","NORMAL")))</f>
        <v>BOUNDARY</v>
      </c>
      <c r="K13" s="19"/>
      <c r="L13" s="19" t="str">
        <f aca="false">IF(OR(E13="",F13="",G13=""),"WAIT",IF(AND(J13="GOVERNANCE",G13=TRUE()),"OK",IF(AND(J13="BOUNDARY",G13=FALSE(),H13=TRUE()),"OK",IF(AND(J13="NORMAL",G13=FALSE(),H13=FALSE()),"OK","FAIL"))))</f>
        <v>OK</v>
      </c>
      <c r="M13" s="19" t="n">
        <f aca="false">IF(I13="","",COUNTIF($I$4:$I$22,I13))</f>
        <v>6</v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19" t="str">
        <f aca="false">IF(OR(E14="",F14=""),"",E14&lt;&gt;F14)</f>
        <v/>
      </c>
      <c r="I14" s="19" t="str">
        <f aca="false">IF(OR(E14="",F14=""),"",E14&amp;"→"&amp;F14)</f>
        <v/>
      </c>
      <c r="J14" s="19" t="str">
        <f aca="false">IF(G14="","",IF(G14=TRUE(),"GOVERNANCE",IF(H14=TRUE(),"BOUNDARY","NORMAL")))</f>
        <v/>
      </c>
      <c r="K14" s="19"/>
      <c r="L14" s="19" t="str">
        <f aca="false">IF(OR(E14="",F14="",G14=""),"WAIT",IF(AND(J14="GOVERNANCE",G14=TRUE()),"OK",IF(AND(J14="BOUNDARY",G14=FALSE(),H14=TRUE()),"OK",IF(AND(J14="NORMAL",G14=FALSE(),H14=FALSE()),"OK","FAIL"))))</f>
        <v>WAIT</v>
      </c>
      <c r="M14" s="19" t="str">
        <f aca="false">IF(I14="","",COUNTIF($I$4:$I$22,I14))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19" t="str">
        <f aca="false">IF(OR(E15="",F15=""),"",E15&lt;&gt;F15)</f>
        <v/>
      </c>
      <c r="I15" s="19" t="str">
        <f aca="false">IF(OR(E15="",F15=""),"",E15&amp;"→"&amp;F15)</f>
        <v/>
      </c>
      <c r="J15" s="19" t="str">
        <f aca="false">IF(G15="","",IF(G15=TRUE(),"GOVERNANCE",IF(H15=TRUE(),"BOUNDARY","NORMAL")))</f>
        <v/>
      </c>
      <c r="K15" s="19"/>
      <c r="L15" s="19" t="str">
        <f aca="false">IF(OR(E15="",F15="",G15=""),"WAIT",IF(AND(J15="GOVERNANCE",G15=TRUE()),"OK",IF(AND(J15="BOUNDARY",G15=FALSE(),H15=TRUE()),"OK",IF(AND(J15="NORMAL",G15=FALSE(),H15=FALSE()),"OK","FAIL"))))</f>
        <v>WAIT</v>
      </c>
      <c r="M15" s="19" t="str">
        <f aca="false">IF(I15="","",COUNTIF($I$4:$I$22,I15))</f>
        <v/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19" t="str">
        <f aca="false">IF(OR(E16="",F16=""),"",E16&lt;&gt;F16)</f>
        <v/>
      </c>
      <c r="I16" s="19" t="str">
        <f aca="false">IF(OR(E16="",F16=""),"",E16&amp;"→"&amp;F16)</f>
        <v/>
      </c>
      <c r="J16" s="19" t="str">
        <f aca="false">IF(G16="","",IF(G16=TRUE(),"GOVERNANCE",IF(H16=TRUE(),"BOUNDARY","NORMAL")))</f>
        <v/>
      </c>
      <c r="K16" s="19"/>
      <c r="L16" s="19" t="str">
        <f aca="false">IF(OR(E16="",F16="",G16=""),"WAIT",IF(AND(J16="GOVERNANCE",G16=TRUE()),"OK",IF(AND(J16="BOUNDARY",G16=FALSE(),H16=TRUE()),"OK",IF(AND(J16="NORMAL",G16=FALSE(),H16=FALSE()),"OK","FAIL"))))</f>
        <v>WAIT</v>
      </c>
      <c r="M16" s="19" t="str">
        <f aca="false">IF(I16="","",COUNTIF($I$4:$I$22,I16))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19" t="str">
        <f aca="false">IF(OR(E17="",F17=""),"",E17&lt;&gt;F17)</f>
        <v/>
      </c>
      <c r="I17" s="19" t="str">
        <f aca="false">IF(OR(E17="",F17=""),"",E17&amp;"→"&amp;F17)</f>
        <v/>
      </c>
      <c r="J17" s="19" t="str">
        <f aca="false">IF(G17="","",IF(G17=TRUE(),"GOVERNANCE",IF(H17=TRUE(),"BOUNDARY","NORMAL")))</f>
        <v/>
      </c>
      <c r="K17" s="19"/>
      <c r="L17" s="19" t="str">
        <f aca="false">IF(OR(E17="",F17="",G17=""),"WAIT",IF(AND(J17="GOVERNANCE",G17=TRUE()),"OK",IF(AND(J17="BOUNDARY",G17=FALSE(),H17=TRUE()),"OK",IF(AND(J17="NORMAL",G17=FALSE(),H17=FALSE()),"OK","FAIL"))))</f>
        <v>WAIT</v>
      </c>
      <c r="M17" s="19" t="str">
        <f aca="false">IF(I17="","",COUNTIF($I$4:$I$22,I17))</f>
        <v/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19" t="str">
        <f aca="false">IF(OR(E18="",F18=""),"",E18&lt;&gt;F18)</f>
        <v/>
      </c>
      <c r="I18" s="19" t="str">
        <f aca="false">IF(OR(E18="",F18=""),"",E18&amp;"→"&amp;F18)</f>
        <v/>
      </c>
      <c r="J18" s="19" t="str">
        <f aca="false">IF(G18="","",IF(G18=TRUE(),"GOVERNANCE",IF(H18=TRUE(),"BOUNDARY","NORMAL")))</f>
        <v/>
      </c>
      <c r="K18" s="19"/>
      <c r="L18" s="19" t="str">
        <f aca="false">IF(OR(E18="",F18="",G18=""),"WAIT",IF(AND(J18="GOVERNANCE",G18=TRUE()),"OK",IF(AND(J18="BOUNDARY",G18=FALSE(),H18=TRUE()),"OK",IF(AND(J18="NORMAL",G18=FALSE(),H18=FALSE()),"OK","FAIL"))))</f>
        <v>WAIT</v>
      </c>
      <c r="M18" s="19" t="str">
        <f aca="false">IF(I18="","",COUNTIF($I$4:$I$22,I18))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19" t="str">
        <f aca="false">IF(OR(E19="",F19=""),"",E19&lt;&gt;F19)</f>
        <v/>
      </c>
      <c r="I19" s="19" t="str">
        <f aca="false">IF(OR(E19="",F19=""),"",E19&amp;"→"&amp;F19)</f>
        <v/>
      </c>
      <c r="J19" s="19" t="str">
        <f aca="false">IF(G19="","",IF(G19=TRUE(),"GOVERNANCE",IF(H19=TRUE(),"BOUNDARY","NORMAL")))</f>
        <v/>
      </c>
      <c r="K19" s="19"/>
      <c r="L19" s="19" t="str">
        <f aca="false">IF(OR(E19="",F19="",G19=""),"WAIT",IF(AND(J19="GOVERNANCE",G19=TRUE()),"OK",IF(AND(J19="BOUNDARY",G19=FALSE(),H19=TRUE()),"OK",IF(AND(J19="NORMAL",G19=FALSE(),H19=FALSE()),"OK","FAIL"))))</f>
        <v>WAIT</v>
      </c>
      <c r="M19" s="19" t="str">
        <f aca="false">IF(I19="","",COUNTIF($I$4:$I$22,I19))</f>
        <v/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19" t="str">
        <f aca="false">IF(OR(E20="",F20=""),"",E20&lt;&gt;F20)</f>
        <v/>
      </c>
      <c r="I20" s="19" t="str">
        <f aca="false">IF(OR(E20="",F20=""),"",E20&amp;"→"&amp;F20)</f>
        <v/>
      </c>
      <c r="J20" s="19" t="str">
        <f aca="false">IF(G20="","",IF(G20=TRUE(),"GOVERNANCE",IF(H20=TRUE(),"BOUNDARY","NORMAL")))</f>
        <v/>
      </c>
      <c r="K20" s="19"/>
      <c r="L20" s="19" t="str">
        <f aca="false">IF(OR(E20="",F20="",G20=""),"WAIT",IF(AND(J20="GOVERNANCE",G20=TRUE()),"OK",IF(AND(J20="BOUNDARY",G20=FALSE(),H20=TRUE()),"OK",IF(AND(J20="NORMAL",G20=FALSE(),H20=FALSE()),"OK","FAIL"))))</f>
        <v>WAIT</v>
      </c>
      <c r="M20" s="19" t="str">
        <f aca="false">IF(I20="","",COUNTIF($I$4:$I$22,I20))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19" t="str">
        <f aca="false">IF(OR(E21="",F21=""),"",E21&lt;&gt;F21)</f>
        <v/>
      </c>
      <c r="I21" s="19" t="str">
        <f aca="false">IF(OR(E21="",F21=""),"",E21&amp;"→"&amp;F21)</f>
        <v/>
      </c>
      <c r="J21" s="19" t="str">
        <f aca="false">IF(G21="","",IF(G21=TRUE(),"GOVERNANCE",IF(H21=TRUE(),"BOUNDARY","NORMAL")))</f>
        <v/>
      </c>
      <c r="K21" s="19"/>
      <c r="L21" s="19" t="str">
        <f aca="false">IF(OR(E21="",F21="",G21=""),"WAIT",IF(AND(J21="GOVERNANCE",G21=TRUE()),"OK",IF(AND(J21="BOUNDARY",G21=FALSE(),H21=TRUE()),"OK",IF(AND(J21="NORMAL",G21=FALSE(),H21=FALSE()),"OK","FAIL"))))</f>
        <v>WAIT</v>
      </c>
      <c r="M21" s="19" t="str">
        <f aca="false">IF(I21="","",COUNTIF($I$4:$I$22,I21))</f>
        <v/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19" t="str">
        <f aca="false">IF(OR(E22="",F22=""),"",E22&lt;&gt;F22)</f>
        <v/>
      </c>
      <c r="I22" s="19" t="str">
        <f aca="false">IF(OR(E22="",F22=""),"",E22&amp;"→"&amp;F22)</f>
        <v/>
      </c>
      <c r="J22" s="19" t="str">
        <f aca="false">IF(G22="","",IF(G22=TRUE(),"GOVERNANCE",IF(H22=TRUE(),"BOUNDARY","NORMAL")))</f>
        <v/>
      </c>
      <c r="K22" s="19"/>
      <c r="L22" s="19" t="str">
        <f aca="false">IF(OR(E22="",F22="",G22=""),"WAIT",IF(AND(J22="GOVERNANCE",G22=TRUE()),"OK",IF(AND(J22="BOUNDARY",G22=FALSE(),H22=TRUE()),"OK",IF(AND(J22="NORMAL",G22=FALSE(),H22=FALSE()),"OK","FAIL"))))</f>
        <v>WAIT</v>
      </c>
      <c r="M22" s="19" t="str">
        <f aca="false">IF(I22="","",COUNTIF($I$4:$I$22,I22))</f>
        <v/>
      </c>
    </row>
  </sheetData>
  <autoFilter ref="A3:M22"/>
  <mergeCells count="2">
    <mergeCell ref="A1:M1"/>
    <mergeCell ref="A2:M2"/>
  </mergeCells>
  <conditionalFormatting sqref="J4:J22">
    <cfRule type="expression" priority="2" aboveAverage="0" equalAverage="0" bottom="0" percent="0" rank="0" text="" dxfId="9">
      <formula>J4="GOVERNANCE"</formula>
    </cfRule>
    <cfRule type="expression" priority="3" aboveAverage="0" equalAverage="0" bottom="0" percent="0" rank="0" text="" dxfId="10">
      <formula>J4="BOUNDARY"</formula>
    </cfRule>
    <cfRule type="expression" priority="4" aboveAverage="0" equalAverage="0" bottom="0" percent="0" rank="0" text="" dxfId="11">
      <formula>J4="NORMAL"</formula>
    </cfRule>
  </conditionalFormatting>
  <dataValidations count="1">
    <dataValidation allowBlank="true" errorStyle="stop" operator="between" showDropDown="false" showErrorMessage="false" showInputMessage="false" sqref="G4:G2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&amp;L02_RECORD</oddHeader>
    <oddFooter>&amp;LDebugShrine PUBLIC v1.0  |  hexagram weights = operator&amp;RPage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23.85" hidden="false" customHeight="false" outlineLevel="0" collapsed="false">
      <c r="A1" s="9" t="s">
        <v>105</v>
      </c>
      <c r="B1" s="9"/>
      <c r="C1" s="9"/>
      <c r="D1" s="9"/>
      <c r="E1" s="9"/>
      <c r="F1" s="9"/>
      <c r="G1" s="9"/>
      <c r="H1" s="9"/>
      <c r="I1" s="9"/>
    </row>
    <row r="3" customFormat="false" ht="18" hidden="false" customHeight="true" outlineLevel="0" collapsed="false">
      <c r="B3" s="21" t="s">
        <v>106</v>
      </c>
      <c r="D3" s="21" t="s">
        <v>107</v>
      </c>
      <c r="F3" s="21" t="s">
        <v>108</v>
      </c>
    </row>
    <row r="4" customFormat="false" ht="36" hidden="false" customHeight="true" outlineLevel="0" collapsed="false">
      <c r="B4" s="22" t="n">
        <f aca="false">COUNTIF(02_RECORD!F4:F22,"1")</f>
        <v>0</v>
      </c>
      <c r="D4" s="22" t="n">
        <f aca="false">COUNTIF(02_RECORD!F4:F22,"2")</f>
        <v>0</v>
      </c>
      <c r="F4" s="22" t="n">
        <f aca="false">COUNTIF(02_RECORD!F4:F22,"3")</f>
        <v>0</v>
      </c>
    </row>
    <row r="5" customFormat="false" ht="18" hidden="false" customHeight="true" outlineLevel="0" collapsed="false">
      <c r="B5" s="21" t="s">
        <v>109</v>
      </c>
      <c r="D5" s="21" t="s">
        <v>110</v>
      </c>
      <c r="F5" s="21" t="s">
        <v>111</v>
      </c>
    </row>
    <row r="6" customFormat="false" ht="36" hidden="false" customHeight="true" outlineLevel="0" collapsed="false">
      <c r="B6" s="22" t="n">
        <f aca="false">COUNTIF(02_RECORD!F4:F22,"4")</f>
        <v>0</v>
      </c>
      <c r="D6" s="22" t="n">
        <f aca="false">COUNTIF(02_RECORD!F4:F22,"5")</f>
        <v>0</v>
      </c>
      <c r="F6" s="22" t="n">
        <f aca="false">COUNTIF(02_RECORD!F4:F22,"6")</f>
        <v>0</v>
      </c>
    </row>
    <row r="7" customFormat="false" ht="18" hidden="false" customHeight="true" outlineLevel="0" collapsed="false">
      <c r="B7" s="21" t="s">
        <v>112</v>
      </c>
      <c r="D7" s="21" t="s">
        <v>113</v>
      </c>
      <c r="F7" s="21" t="s">
        <v>114</v>
      </c>
    </row>
    <row r="8" customFormat="false" ht="36" hidden="false" customHeight="true" outlineLevel="0" collapsed="false">
      <c r="B8" s="22" t="n">
        <f aca="false">COUNTIF(02_RECORD!F4:F22,"7")</f>
        <v>0</v>
      </c>
      <c r="D8" s="22" t="n">
        <f aca="false">COUNTIF(02_RECORD!F4:F22,"8")</f>
        <v>0</v>
      </c>
      <c r="F8" s="22" t="n">
        <f aca="false">COUNTIF(02_RECORD!F4:F22,"9")</f>
        <v>0</v>
      </c>
    </row>
    <row r="12" customFormat="false" ht="15" hidden="false" customHeight="false" outlineLevel="0" collapsed="false">
      <c r="A12" s="23" t="s">
        <v>115</v>
      </c>
      <c r="B12" s="23"/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23"/>
    </row>
  </sheetData>
  <mergeCells count="2">
    <mergeCell ref="A1:I1"/>
    <mergeCell ref="A12:I1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&amp;L03_PALACE9</oddHeader>
    <oddFooter>&amp;LDebugShrine PUBLIC v1.0  |  hexagram weights = operator&amp;RPage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9" t="s">
        <v>116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A3" s="24" t="s">
        <v>117</v>
      </c>
      <c r="B3" s="25" t="n">
        <f aca="false">COUNTA(02_RECORD!E4:E22)</f>
        <v>10</v>
      </c>
      <c r="E3" s="26" t="s">
        <v>64</v>
      </c>
      <c r="F3" s="26" t="s">
        <v>118</v>
      </c>
    </row>
    <row r="4" customFormat="false" ht="28.35" hidden="false" customHeight="false" outlineLevel="0" collapsed="false">
      <c r="A4" s="24" t="s">
        <v>119</v>
      </c>
      <c r="B4" s="25" t="n">
        <f aca="false">SUMPRODUCT((02_RECORD!I4:I22&lt;&gt;"")/COUNTIF(02_RECORD!I4:I22,02_RECORD!I4:I22&amp;""))</f>
        <v>5</v>
      </c>
      <c r="E4" s="25" t="s">
        <v>120</v>
      </c>
      <c r="F4" s="25" t="n">
        <f aca="false">COUNTIF(02_RECORD!J4:J22,"GOVERNANCE")</f>
        <v>2</v>
      </c>
    </row>
    <row r="5" customFormat="false" ht="28.35" hidden="false" customHeight="false" outlineLevel="0" collapsed="false">
      <c r="A5" s="24" t="s">
        <v>121</v>
      </c>
      <c r="B5" s="20" t="n">
        <v>0.35</v>
      </c>
      <c r="C5" s="27" t="s">
        <v>122</v>
      </c>
      <c r="E5" s="25" t="s">
        <v>123</v>
      </c>
      <c r="F5" s="25" t="n">
        <f aca="false">COUNTIF(02_RECORD!J4:J22,"BOUNDARY")</f>
        <v>6</v>
      </c>
    </row>
    <row r="6" customFormat="false" ht="15" hidden="false" customHeight="false" outlineLevel="0" collapsed="false">
      <c r="A6" s="24" t="s">
        <v>124</v>
      </c>
      <c r="B6" s="20" t="n">
        <v>0.6</v>
      </c>
      <c r="E6" s="25" t="s">
        <v>125</v>
      </c>
      <c r="F6" s="25" t="n">
        <f aca="false">COUNTIF(02_RECORD!J4:J22,"NORMAL")</f>
        <v>2</v>
      </c>
    </row>
    <row r="8" customFormat="false" ht="15" hidden="false" customHeight="true" outlineLevel="0" collapsed="false">
      <c r="A8" s="28" t="s">
        <v>126</v>
      </c>
      <c r="B8" s="28"/>
      <c r="C8" s="28"/>
      <c r="D8" s="28"/>
      <c r="E8" s="28"/>
      <c r="F8" s="28"/>
      <c r="G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</row>
    <row r="19" customFormat="false" ht="15" hidden="false" customHeight="false" outlineLevel="0" collapsed="false">
      <c r="A19" s="24" t="s">
        <v>127</v>
      </c>
      <c r="B19" s="29" t="n">
        <f aca="false">IFERROR(MAX(02_RECORD!M4:M22),0)</f>
        <v>6</v>
      </c>
    </row>
    <row r="20" customFormat="false" ht="15" hidden="false" customHeight="false" outlineLevel="0" collapsed="false">
      <c r="A20" s="24" t="s">
        <v>128</v>
      </c>
      <c r="B20" s="30" t="n">
        <f aca="false">IF(B3=0,0,B19/B3)</f>
        <v>0.6</v>
      </c>
    </row>
    <row r="21" customFormat="false" ht="15" hidden="false" customHeight="false" outlineLevel="0" collapsed="false">
      <c r="A21" s="24" t="s">
        <v>129</v>
      </c>
      <c r="B21" s="31" t="str">
        <f aca="false">IF(B3=0,"",IF(B20&lt;B5,"Stable",IF(B20&lt;B6,"Emerging","Locked")))</f>
        <v>Locked</v>
      </c>
    </row>
  </sheetData>
  <mergeCells count="2">
    <mergeCell ref="A1:H1"/>
    <mergeCell ref="A8:G9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&amp;L04_SURFACE</oddHeader>
    <oddFooter>&amp;LDebugShrine PUBLIC v1.0  |  hexagram weights = operator&amp;RPage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8"/>
  </cols>
  <sheetData>
    <row r="1" customFormat="false" ht="19.7" hidden="false" customHeight="false" outlineLevel="0" collapsed="false">
      <c r="A1" s="9" t="s">
        <v>130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5" t="s">
        <v>61</v>
      </c>
      <c r="B3" s="15" t="s">
        <v>62</v>
      </c>
      <c r="C3" s="15" t="s">
        <v>64</v>
      </c>
      <c r="D3" s="10" t="s">
        <v>131</v>
      </c>
    </row>
    <row r="4" customFormat="false" ht="15" hidden="false" customHeight="false" outlineLevel="0" collapsed="false">
      <c r="A4" s="32" t="b">
        <f aca="false">TRUE()</f>
        <v>1</v>
      </c>
      <c r="B4" s="33" t="s">
        <v>132</v>
      </c>
      <c r="C4" s="33" t="s">
        <v>120</v>
      </c>
      <c r="D4" s="34" t="s">
        <v>133</v>
      </c>
    </row>
    <row r="5" customFormat="false" ht="15" hidden="false" customHeight="false" outlineLevel="0" collapsed="false">
      <c r="A5" s="35" t="b">
        <f aca="false">FALSE()</f>
        <v>0</v>
      </c>
      <c r="B5" s="35" t="b">
        <f aca="false">TRUE()</f>
        <v>1</v>
      </c>
      <c r="C5" s="36" t="s">
        <v>123</v>
      </c>
      <c r="D5" s="37" t="s">
        <v>134</v>
      </c>
    </row>
    <row r="6" customFormat="false" ht="15" hidden="false" customHeight="false" outlineLevel="0" collapsed="false">
      <c r="A6" s="38" t="b">
        <f aca="false">FALSE()</f>
        <v>0</v>
      </c>
      <c r="B6" s="38" t="b">
        <f aca="false">FALSE()</f>
        <v>0</v>
      </c>
      <c r="C6" s="39" t="s">
        <v>125</v>
      </c>
      <c r="D6" s="40" t="s">
        <v>135</v>
      </c>
    </row>
    <row r="8" customFormat="false" ht="15" hidden="false" customHeight="true" outlineLevel="0" collapsed="false">
      <c r="A8" s="41" t="s">
        <v>136</v>
      </c>
      <c r="B8" s="41"/>
      <c r="C8" s="41"/>
      <c r="D8" s="41"/>
      <c r="E8" s="41"/>
      <c r="F8" s="41"/>
      <c r="G8" s="41"/>
    </row>
    <row r="9" customFormat="false" ht="15" hidden="false" customHeight="false" outlineLevel="0" collapsed="false">
      <c r="A9" s="41"/>
      <c r="B9" s="41"/>
      <c r="C9" s="41"/>
      <c r="D9" s="41"/>
      <c r="E9" s="41"/>
      <c r="F9" s="41"/>
      <c r="G9" s="41"/>
    </row>
    <row r="10" customFormat="false" ht="15" hidden="false" customHeight="false" outlineLevel="0" collapsed="false">
      <c r="A10" s="41"/>
      <c r="B10" s="41"/>
      <c r="C10" s="41"/>
      <c r="D10" s="41"/>
      <c r="E10" s="41"/>
      <c r="F10" s="41"/>
      <c r="G10" s="41"/>
    </row>
  </sheetData>
  <mergeCells count="2">
    <mergeCell ref="A1:G1"/>
    <mergeCell ref="A8:G10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&amp;L05_CLASS</oddHeader>
    <oddFooter>&amp;LDebugShrine PUBLIC v1.0  |  hexagram weights = operator&amp;RPage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23.85" hidden="false" customHeight="false" outlineLevel="0" collapsed="false">
      <c r="A1" s="1" t="s">
        <v>137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42" t="s">
        <v>138</v>
      </c>
      <c r="B3" s="42"/>
      <c r="C3" s="42"/>
      <c r="D3" s="42"/>
      <c r="E3" s="42"/>
      <c r="F3" s="42"/>
      <c r="G3" s="42"/>
      <c r="H3" s="42"/>
    </row>
    <row r="4" customFormat="false" ht="15" hidden="false" customHeight="false" outlineLevel="0" collapsed="false">
      <c r="A4" s="42"/>
      <c r="B4" s="42"/>
      <c r="C4" s="42"/>
      <c r="D4" s="42"/>
      <c r="E4" s="42"/>
      <c r="F4" s="42"/>
      <c r="G4" s="42"/>
      <c r="H4" s="42"/>
    </row>
    <row r="5" customFormat="false" ht="15" hidden="false" customHeight="false" outlineLevel="0" collapsed="false">
      <c r="A5" s="42"/>
      <c r="B5" s="42"/>
      <c r="C5" s="42"/>
      <c r="D5" s="42"/>
      <c r="E5" s="42"/>
      <c r="F5" s="42"/>
      <c r="G5" s="42"/>
      <c r="H5" s="42"/>
    </row>
    <row r="7" customFormat="false" ht="15" hidden="false" customHeight="false" outlineLevel="0" collapsed="false">
      <c r="A7" s="24" t="s">
        <v>139</v>
      </c>
      <c r="B7" s="29" t="str">
        <f aca="false">04_SURFACE!B21</f>
        <v>Locked</v>
      </c>
    </row>
    <row r="8" customFormat="false" ht="15" hidden="false" customHeight="false" outlineLevel="0" collapsed="false">
      <c r="A8" s="24" t="s">
        <v>128</v>
      </c>
      <c r="B8" s="30" t="n">
        <f aca="false">04_SURFACE!B20</f>
        <v>0.6</v>
      </c>
    </row>
    <row r="9" customFormat="false" ht="15" hidden="false" customHeight="false" outlineLevel="0" collapsed="false">
      <c r="A9" s="24" t="s">
        <v>140</v>
      </c>
      <c r="B9" s="43"/>
      <c r="C9" s="43"/>
      <c r="D9" s="43"/>
      <c r="E9" s="43"/>
      <c r="F9" s="43"/>
      <c r="G9" s="43"/>
      <c r="H9" s="43"/>
    </row>
    <row r="10" customFormat="false" ht="15" hidden="false" customHeight="false" outlineLevel="0" collapsed="false">
      <c r="A10" s="24" t="s">
        <v>141</v>
      </c>
      <c r="B10" s="43"/>
      <c r="C10" s="43"/>
      <c r="D10" s="43"/>
      <c r="E10" s="43"/>
      <c r="F10" s="43"/>
      <c r="G10" s="43"/>
      <c r="H10" s="43"/>
    </row>
    <row r="11" customFormat="false" ht="15" hidden="false" customHeight="false" outlineLevel="0" collapsed="false">
      <c r="A11" s="24" t="s">
        <v>142</v>
      </c>
      <c r="B11" s="44" t="b">
        <f aca="false">FALSE()</f>
        <v>0</v>
      </c>
    </row>
  </sheetData>
  <mergeCells count="4">
    <mergeCell ref="A1:H1"/>
    <mergeCell ref="A3:H5"/>
    <mergeCell ref="B9:H9"/>
    <mergeCell ref="B10:H10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&amp;L06_ADAPTER</oddHeader>
    <oddFooter>&amp;LDebugShrine PUBLIC v1.0  |  hexagram weights = operator&amp;RPage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2026-09-29T22:30:46Z</dcterms:created>
  <dc:creator>openpyxl</dc:creator>
  <dc:description/>
  <dc:language>en-US</dc:language>
  <cp:lastModifiedBy/>
  <dcterms:modified xsi:type="dcterms:W3CDTF">2026-09-29T22:30:54Z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